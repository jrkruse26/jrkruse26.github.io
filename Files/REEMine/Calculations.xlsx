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ownloads\"/>
    </mc:Choice>
  </mc:AlternateContent>
  <bookViews>
    <workbookView xWindow="0" yWindow="0" windowWidth="28800" windowHeight="124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20" i="1"/>
  <c r="C8" i="1"/>
  <c r="G17" i="1"/>
  <c r="E32" i="1" l="1"/>
  <c r="E33" i="1"/>
  <c r="E34" i="1"/>
  <c r="E35" i="1"/>
  <c r="E31" i="1"/>
  <c r="G23" i="1"/>
  <c r="G24" i="1" s="1"/>
  <c r="G26" i="1" s="1"/>
  <c r="G27" i="1" l="1"/>
  <c r="G12" i="1" s="1"/>
  <c r="E36" i="1"/>
  <c r="C24" i="1" s="1"/>
  <c r="C10" i="1"/>
  <c r="C23" i="1" s="1"/>
  <c r="C9" i="1"/>
  <c r="C22" i="1" s="1"/>
  <c r="C21" i="1"/>
  <c r="C3" i="1"/>
  <c r="C16" i="1"/>
  <c r="C6" i="1" l="1"/>
  <c r="C11" i="1" l="1"/>
  <c r="C25" i="1" s="1"/>
  <c r="C19" i="1"/>
  <c r="C12" i="1" l="1"/>
  <c r="C27" i="1"/>
</calcChain>
</file>

<file path=xl/sharedStrings.xml><?xml version="1.0" encoding="utf-8"?>
<sst xmlns="http://schemas.openxmlformats.org/spreadsheetml/2006/main" count="55" uniqueCount="48">
  <si>
    <t>Diameter (m)</t>
  </si>
  <si>
    <t>Height (m)</t>
  </si>
  <si>
    <t>Overall Ore Weight (tonnes)</t>
  </si>
  <si>
    <t>Overall Ore Profit</t>
  </si>
  <si>
    <t>Hourly Revenues</t>
  </si>
  <si>
    <t>Mining Capacity (tonnes/hr)</t>
  </si>
  <si>
    <t>Mining Specs</t>
  </si>
  <si>
    <t>Revenue from ore</t>
  </si>
  <si>
    <t>Hourly Expenses</t>
  </si>
  <si>
    <t>Ventilation</t>
  </si>
  <si>
    <t>Electricty</t>
  </si>
  <si>
    <t>Electricity Cost</t>
  </si>
  <si>
    <t>General Expense Specs</t>
  </si>
  <si>
    <t>General Revenue Specs</t>
  </si>
  <si>
    <t>Electricity Costs (Cents/kwh)</t>
  </si>
  <si>
    <t>Wages</t>
  </si>
  <si>
    <t># of workers</t>
  </si>
  <si>
    <t>Processing</t>
  </si>
  <si>
    <t>Processing Cost ($/tonne)</t>
  </si>
  <si>
    <t>Base Cost ($/yr)</t>
  </si>
  <si>
    <t>Base Running Cost</t>
  </si>
  <si>
    <t>Total</t>
  </si>
  <si>
    <t>Hourly Net Profit</t>
  </si>
  <si>
    <t>Overall Expenses</t>
  </si>
  <si>
    <t>Bucket Elevators</t>
  </si>
  <si>
    <t>Maintmence Trucks</t>
  </si>
  <si>
    <t>Item</t>
  </si>
  <si>
    <t>Qty</t>
  </si>
  <si>
    <t>PPI</t>
  </si>
  <si>
    <t>Primary conveyer belt</t>
  </si>
  <si>
    <t>Secondary conveyer belts</t>
  </si>
  <si>
    <t>Misc</t>
  </si>
  <si>
    <t>Rock Weight (tonnes)</t>
  </si>
  <si>
    <t>Initial Expenses</t>
  </si>
  <si>
    <t>Ore Deposit Specs</t>
  </si>
  <si>
    <t>Overall Revenue</t>
  </si>
  <si>
    <t>Initial Costs</t>
  </si>
  <si>
    <t>Electricity Usage (kwh/tonne)</t>
  </si>
  <si>
    <t>Percentage of REE in rock</t>
  </si>
  <si>
    <r>
      <t>Rock Volume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</si>
  <si>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Ore Volume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</si>
  <si>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Ore Weight (tonnes/m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</si>
  <si>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Net Profit</t>
  </si>
  <si>
    <t>Ventilation Costs (% of revenue)</t>
  </si>
  <si>
    <t>Workers' Pay ($/hr)</t>
  </si>
  <si>
    <t>Mine running time (hrs)</t>
  </si>
  <si>
    <t>Ore Revenue ($/tonne)</t>
  </si>
  <si>
    <t>Electricity 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</si>
</sst>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40">
    <xf numFmtId="0" fontId="0" fillId="0" borderId="0" xfId="0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 applyAlignment="1">
      <alignment horizontal="left"/>
    </xf>
    <xf numFmtId="0" fontId="0" fillId="0" borderId="0" xfId="0" applyBorder="1"/>
    <xf numFmtId="0" fontId="0" fillId="0" borderId="7" xfId="0" applyBorder="1" applyAlignment="1">
      <alignment horizontal="left"/>
    </xf>
    <xf numFmtId="164" fontId="0" fillId="0" borderId="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2" xfId="0" applyNumberFormat="1" applyBorder="1" applyAlignment="1">
      <alignment horizontal="right"/>
    </xf>
    <xf numFmtId="164" fontId="0" fillId="0" borderId="13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14" xfId="0" applyBorder="1"/>
    <xf numFmtId="164" fontId="1" fillId="2" borderId="2" xfId="1" applyNumberFormat="1" applyBorder="1"/>
    <xf numFmtId="164" fontId="1" fillId="2" borderId="15" xfId="1" applyNumberFormat="1" applyBorder="1"/>
    <xf numFmtId="10" fontId="1" fillId="2" borderId="16" xfId="1" applyNumberFormat="1" applyBorder="1"/>
    <xf numFmtId="164" fontId="1" fillId="2" borderId="16" xfId="1" applyNumberFormat="1" applyBorder="1"/>
    <xf numFmtId="10" fontId="1" fillId="2" borderId="15" xfId="1" applyNumberFormat="1" applyBorder="1"/>
    <xf numFmtId="164" fontId="2" fillId="5" borderId="2" xfId="4" applyNumberFormat="1" applyBorder="1"/>
    <xf numFmtId="3" fontId="1" fillId="2" borderId="16" xfId="1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1" fillId="2" borderId="15" xfId="1" applyNumberFormat="1" applyBorder="1" applyAlignment="1">
      <alignment horizontal="right"/>
    </xf>
    <xf numFmtId="3" fontId="1" fillId="2" borderId="17" xfId="1" applyNumberFormat="1" applyBorder="1" applyAlignment="1">
      <alignment horizontal="right"/>
    </xf>
    <xf numFmtId="0" fontId="0" fillId="0" borderId="2" xfId="0" applyBorder="1"/>
    <xf numFmtId="0" fontId="0" fillId="5" borderId="9" xfId="4" applyFont="1" applyBorder="1"/>
    <xf numFmtId="0" fontId="2" fillId="4" borderId="9" xfId="3" applyBorder="1" applyAlignment="1">
      <alignment horizontal="center"/>
    </xf>
    <xf numFmtId="0" fontId="2" fillId="4" borderId="10" xfId="3" applyBorder="1" applyAlignment="1">
      <alignment horizontal="center"/>
    </xf>
    <xf numFmtId="0" fontId="2" fillId="5" borderId="9" xfId="4" applyBorder="1" applyAlignment="1">
      <alignment horizontal="center"/>
    </xf>
    <xf numFmtId="0" fontId="2" fillId="5" borderId="10" xfId="4" applyBorder="1" applyAlignment="1">
      <alignment horizontal="center"/>
    </xf>
    <xf numFmtId="0" fontId="2" fillId="3" borderId="9" xfId="2" applyBorder="1" applyAlignment="1">
      <alignment horizontal="center"/>
    </xf>
    <xf numFmtId="0" fontId="2" fillId="3" borderId="10" xfId="2" applyBorder="1" applyAlignment="1">
      <alignment horizontal="center"/>
    </xf>
    <xf numFmtId="0" fontId="2" fillId="3" borderId="14" xfId="2" applyBorder="1" applyAlignment="1">
      <alignment horizontal="center"/>
    </xf>
  </cellXfs>
  <cellStyles count="5">
    <cellStyle name="20% - Accent2" xfId="2" builtinId="34"/>
    <cellStyle name="20% - Accent4" xfId="3" builtinId="42"/>
    <cellStyle name="20% - Accent6" xfId="4" builtinId="50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6"/>
  <sheetViews>
    <sheetView tabSelected="1" topLeftCell="A4" workbookViewId="0">
      <selection activeCell="E7" sqref="E7"/>
    </sheetView>
  </sheetViews>
  <sheetFormatPr defaultRowHeight="15" x14ac:dyDescent="0.25"/>
  <cols>
    <col min="2" max="2" width="26.5703125" bestFit="1" customWidth="1"/>
    <col min="3" max="3" width="20.140625" bestFit="1" customWidth="1"/>
    <col min="4" max="5" width="14.85546875" bestFit="1" customWidth="1"/>
    <col min="6" max="6" width="29.7109375" bestFit="1" customWidth="1"/>
    <col min="7" max="7" width="16.42578125" bestFit="1" customWidth="1"/>
    <col min="8" max="8" width="14.85546875" bestFit="1" customWidth="1"/>
    <col min="9" max="9" width="11.28515625" customWidth="1"/>
    <col min="12" max="13" width="11.42578125" customWidth="1"/>
  </cols>
  <sheetData>
    <row r="2" spans="2:7" x14ac:dyDescent="0.25">
      <c r="B2" s="35" t="s">
        <v>4</v>
      </c>
      <c r="C2" s="36"/>
      <c r="F2" s="33" t="s">
        <v>13</v>
      </c>
      <c r="G2" s="34"/>
    </row>
    <row r="3" spans="2:7" x14ac:dyDescent="0.25">
      <c r="B3" s="1" t="s">
        <v>7</v>
      </c>
      <c r="C3" s="8">
        <f>(G15*G20)*G3</f>
        <v>8550000</v>
      </c>
      <c r="F3" s="1" t="s">
        <v>46</v>
      </c>
      <c r="G3" s="20">
        <v>10000</v>
      </c>
    </row>
    <row r="5" spans="2:7" x14ac:dyDescent="0.25">
      <c r="B5" s="37" t="s">
        <v>8</v>
      </c>
      <c r="C5" s="38"/>
      <c r="F5" s="33" t="s">
        <v>12</v>
      </c>
      <c r="G5" s="34"/>
    </row>
    <row r="6" spans="2:7" x14ac:dyDescent="0.25">
      <c r="B6" s="10" t="s">
        <v>9</v>
      </c>
      <c r="C6" s="4">
        <f>G7*C3</f>
        <v>1710000</v>
      </c>
      <c r="F6" s="3" t="s">
        <v>14</v>
      </c>
      <c r="G6" s="21">
        <v>0.12</v>
      </c>
    </row>
    <row r="7" spans="2:7" x14ac:dyDescent="0.25">
      <c r="B7" s="10" t="s">
        <v>10</v>
      </c>
      <c r="C7" s="4">
        <f>G6*G17</f>
        <v>496800</v>
      </c>
      <c r="F7" s="3" t="s">
        <v>43</v>
      </c>
      <c r="G7" s="22">
        <v>0.2</v>
      </c>
    </row>
    <row r="8" spans="2:7" x14ac:dyDescent="0.25">
      <c r="B8" s="10" t="s">
        <v>15</v>
      </c>
      <c r="C8" s="4">
        <f>G8*G9</f>
        <v>2500</v>
      </c>
      <c r="F8" s="3" t="s">
        <v>16</v>
      </c>
      <c r="G8" s="26">
        <v>50</v>
      </c>
    </row>
    <row r="9" spans="2:7" x14ac:dyDescent="0.25">
      <c r="B9" s="10" t="s">
        <v>17</v>
      </c>
      <c r="C9" s="4">
        <f>(G10*G20)*G15</f>
        <v>855000</v>
      </c>
      <c r="F9" s="3" t="s">
        <v>44</v>
      </c>
      <c r="G9" s="23">
        <v>50</v>
      </c>
    </row>
    <row r="10" spans="2:7" x14ac:dyDescent="0.25">
      <c r="B10" s="10" t="s">
        <v>20</v>
      </c>
      <c r="C10" s="4">
        <f>G11/(365*24)</f>
        <v>342465.75342465751</v>
      </c>
      <c r="F10" s="3" t="s">
        <v>18</v>
      </c>
      <c r="G10" s="23">
        <v>1000</v>
      </c>
    </row>
    <row r="11" spans="2:7" x14ac:dyDescent="0.25">
      <c r="B11" s="11" t="s">
        <v>21</v>
      </c>
      <c r="C11" s="2">
        <f>SUM(C6:C10)</f>
        <v>3406765.7534246575</v>
      </c>
      <c r="F11" s="3" t="s">
        <v>19</v>
      </c>
      <c r="G11" s="23">
        <v>3000000000</v>
      </c>
    </row>
    <row r="12" spans="2:7" x14ac:dyDescent="0.25">
      <c r="B12" s="5" t="s">
        <v>22</v>
      </c>
      <c r="C12" s="12">
        <f>C3-C11</f>
        <v>5143234.2465753425</v>
      </c>
      <c r="F12" s="1" t="s">
        <v>45</v>
      </c>
      <c r="G12" s="28">
        <f>G27/G15</f>
        <v>1139820</v>
      </c>
    </row>
    <row r="14" spans="2:7" x14ac:dyDescent="0.25">
      <c r="F14" s="33" t="s">
        <v>6</v>
      </c>
      <c r="G14" s="34"/>
    </row>
    <row r="15" spans="2:7" x14ac:dyDescent="0.25">
      <c r="B15" s="35" t="s">
        <v>35</v>
      </c>
      <c r="C15" s="36"/>
      <c r="F15" s="7" t="s">
        <v>5</v>
      </c>
      <c r="G15" s="29">
        <v>9000</v>
      </c>
    </row>
    <row r="16" spans="2:7" x14ac:dyDescent="0.25">
      <c r="B16" s="1" t="s">
        <v>3</v>
      </c>
      <c r="C16" s="13">
        <f>G26*G3</f>
        <v>9745461000000.002</v>
      </c>
      <c r="F16" s="3" t="s">
        <v>37</v>
      </c>
      <c r="G16" s="26">
        <v>460</v>
      </c>
    </row>
    <row r="17" spans="2:7" x14ac:dyDescent="0.25">
      <c r="F17" s="1" t="s">
        <v>47</v>
      </c>
      <c r="G17" s="30">
        <f>G15*G16</f>
        <v>4140000</v>
      </c>
    </row>
    <row r="18" spans="2:7" x14ac:dyDescent="0.25">
      <c r="B18" s="37" t="s">
        <v>23</v>
      </c>
      <c r="C18" s="38"/>
    </row>
    <row r="19" spans="2:7" x14ac:dyDescent="0.25">
      <c r="B19" s="3" t="s">
        <v>9</v>
      </c>
      <c r="C19" s="15">
        <f>C6*$G$12</f>
        <v>1949092200000</v>
      </c>
      <c r="F19" s="33" t="s">
        <v>34</v>
      </c>
      <c r="G19" s="34"/>
    </row>
    <row r="20" spans="2:7" x14ac:dyDescent="0.25">
      <c r="B20" s="3" t="s">
        <v>11</v>
      </c>
      <c r="C20" s="15">
        <f>C7*$G$12</f>
        <v>566262576000</v>
      </c>
      <c r="F20" s="3" t="s">
        <v>38</v>
      </c>
      <c r="G20" s="24">
        <v>9.5000000000000001E-2</v>
      </c>
    </row>
    <row r="21" spans="2:7" x14ac:dyDescent="0.25">
      <c r="B21" s="3" t="s">
        <v>15</v>
      </c>
      <c r="C21" s="15">
        <f>C8*$G$12</f>
        <v>2849550000</v>
      </c>
      <c r="F21" s="3" t="s">
        <v>0</v>
      </c>
      <c r="G21" s="26">
        <v>2200</v>
      </c>
    </row>
    <row r="22" spans="2:7" x14ac:dyDescent="0.25">
      <c r="B22" s="3" t="s">
        <v>17</v>
      </c>
      <c r="C22" s="15">
        <f>C9*$G$12</f>
        <v>974546100000</v>
      </c>
      <c r="F22" s="3" t="s">
        <v>1</v>
      </c>
      <c r="G22" s="26">
        <v>1000</v>
      </c>
    </row>
    <row r="23" spans="2:7" ht="17.25" x14ac:dyDescent="0.25">
      <c r="B23" s="3" t="s">
        <v>20</v>
      </c>
      <c r="C23" s="15">
        <f>C10*$G$12</f>
        <v>390349315068.4931</v>
      </c>
      <c r="F23" s="3" t="s">
        <v>39</v>
      </c>
      <c r="G23" s="27">
        <f>(3.14)*((G21/2)^2)*G22</f>
        <v>3799400000</v>
      </c>
    </row>
    <row r="24" spans="2:7" ht="17.25" x14ac:dyDescent="0.25">
      <c r="B24" s="3" t="s">
        <v>33</v>
      </c>
      <c r="C24" s="15">
        <f>E36</f>
        <v>409500000</v>
      </c>
      <c r="F24" s="3" t="s">
        <v>40</v>
      </c>
      <c r="G24" s="27">
        <f>G20*G23</f>
        <v>360943000</v>
      </c>
    </row>
    <row r="25" spans="2:7" ht="17.25" x14ac:dyDescent="0.25">
      <c r="B25" s="16" t="s">
        <v>21</v>
      </c>
      <c r="C25" s="8">
        <f>(C11*$G$12)+C24</f>
        <v>3883509241068.4932</v>
      </c>
      <c r="F25" s="3" t="s">
        <v>41</v>
      </c>
      <c r="G25" s="26">
        <v>2.7</v>
      </c>
    </row>
    <row r="26" spans="2:7" x14ac:dyDescent="0.25">
      <c r="B26" s="6"/>
      <c r="C26" s="6"/>
      <c r="F26" s="3" t="s">
        <v>2</v>
      </c>
      <c r="G26" s="27">
        <f>G25*G24</f>
        <v>974546100.00000012</v>
      </c>
    </row>
    <row r="27" spans="2:7" x14ac:dyDescent="0.25">
      <c r="B27" s="32" t="s">
        <v>42</v>
      </c>
      <c r="C27" s="25">
        <f>C16-C25</f>
        <v>5861951758931.5088</v>
      </c>
      <c r="F27" s="1" t="s">
        <v>32</v>
      </c>
      <c r="G27" s="28">
        <f>G23*G25</f>
        <v>10258380000</v>
      </c>
    </row>
    <row r="29" spans="2:7" x14ac:dyDescent="0.25">
      <c r="B29" s="37" t="s">
        <v>36</v>
      </c>
      <c r="C29" s="39"/>
      <c r="D29" s="39"/>
      <c r="E29" s="38"/>
    </row>
    <row r="30" spans="2:7" x14ac:dyDescent="0.25">
      <c r="B30" s="17" t="s">
        <v>26</v>
      </c>
      <c r="C30" s="31" t="s">
        <v>27</v>
      </c>
      <c r="D30" s="31" t="s">
        <v>28</v>
      </c>
      <c r="E30" s="18" t="s">
        <v>21</v>
      </c>
    </row>
    <row r="31" spans="2:7" x14ac:dyDescent="0.25">
      <c r="B31" s="17" t="s">
        <v>24</v>
      </c>
      <c r="C31" s="9">
        <v>1</v>
      </c>
      <c r="D31" s="14">
        <v>400000000</v>
      </c>
      <c r="E31" s="14">
        <f>C31*D31</f>
        <v>400000000</v>
      </c>
    </row>
    <row r="32" spans="2:7" x14ac:dyDescent="0.25">
      <c r="B32" s="3" t="s">
        <v>25</v>
      </c>
      <c r="C32" s="10">
        <v>5</v>
      </c>
      <c r="D32" s="15">
        <v>800000</v>
      </c>
      <c r="E32" s="15">
        <f t="shared" ref="E32:E35" si="0">C32*D32</f>
        <v>4000000</v>
      </c>
    </row>
    <row r="33" spans="2:5" x14ac:dyDescent="0.25">
      <c r="B33" s="3" t="s">
        <v>30</v>
      </c>
      <c r="C33" s="10">
        <v>5</v>
      </c>
      <c r="D33" s="15">
        <v>700000</v>
      </c>
      <c r="E33" s="15">
        <f t="shared" si="0"/>
        <v>3500000</v>
      </c>
    </row>
    <row r="34" spans="2:5" x14ac:dyDescent="0.25">
      <c r="B34" s="3" t="s">
        <v>29</v>
      </c>
      <c r="C34" s="10">
        <v>1</v>
      </c>
      <c r="D34" s="15">
        <v>1000000</v>
      </c>
      <c r="E34" s="15">
        <f t="shared" si="0"/>
        <v>1000000</v>
      </c>
    </row>
    <row r="35" spans="2:5" x14ac:dyDescent="0.25">
      <c r="B35" s="3" t="s">
        <v>31</v>
      </c>
      <c r="C35" s="11">
        <v>1</v>
      </c>
      <c r="D35" s="13">
        <v>1000000</v>
      </c>
      <c r="E35" s="15">
        <f t="shared" si="0"/>
        <v>1000000</v>
      </c>
    </row>
    <row r="36" spans="2:5" x14ac:dyDescent="0.25">
      <c r="B36" s="16" t="s">
        <v>21</v>
      </c>
      <c r="C36" s="19"/>
      <c r="D36" s="19"/>
      <c r="E36" s="8">
        <f>SUM(E31:E35)</f>
        <v>409500000</v>
      </c>
    </row>
  </sheetData>
  <mergeCells count="9">
    <mergeCell ref="B29:E29"/>
    <mergeCell ref="F2:G2"/>
    <mergeCell ref="F14:G14"/>
    <mergeCell ref="F19:G19"/>
    <mergeCell ref="F5:G5"/>
    <mergeCell ref="B15:C15"/>
    <mergeCell ref="B18:C18"/>
    <mergeCell ref="B2:C2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</dc:creator>
  <cp:lastModifiedBy>Jordan Robert Kruse</cp:lastModifiedBy>
  <dcterms:created xsi:type="dcterms:W3CDTF">2017-04-19T00:35:31Z</dcterms:created>
  <dcterms:modified xsi:type="dcterms:W3CDTF">2017-04-25T04:25:08Z</dcterms:modified>
</cp:coreProperties>
</file>