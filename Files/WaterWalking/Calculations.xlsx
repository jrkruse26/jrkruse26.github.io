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571"/>
  <workbookPr/>
  <mc:AlternateContent xmlns:mc="http://schemas.openxmlformats.org/markup-compatibility/2006">
    <mc:Choice Requires="x15">
      <x15ac:absPath xmlns:x15ac="http://schemas.microsoft.com/office/spreadsheetml/2010/11/ac" url="E:\Google Drive\Academics\EDSGN 100\Water Walking Project\"/>
    </mc:Choice>
  </mc:AlternateContent>
  <bookViews>
    <workbookView xWindow="0" yWindow="0" windowWidth="28800" windowHeight="124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1" l="1"/>
  <c r="L8" i="1" s="1"/>
  <c r="L11" i="1" l="1"/>
  <c r="L18" i="1" s="1"/>
  <c r="C15" i="1"/>
  <c r="C8" i="1"/>
  <c r="C19" i="1" l="1"/>
  <c r="C20" i="1" s="1"/>
  <c r="C18" i="1"/>
  <c r="I17" i="1" s="1"/>
  <c r="C17" i="1"/>
  <c r="I8" i="1"/>
  <c r="L13" i="1"/>
  <c r="I12" i="1" l="1"/>
  <c r="F14" i="1" s="1"/>
</calcChain>
</file>

<file path=xl/sharedStrings.xml><?xml version="1.0" encoding="utf-8"?>
<sst xmlns="http://schemas.openxmlformats.org/spreadsheetml/2006/main" count="47" uniqueCount="45">
  <si>
    <r>
      <t>g(m/s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 =</t>
    </r>
  </si>
  <si>
    <t>water</t>
  </si>
  <si>
    <r>
      <t>object denisity (p) (kg/m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 =</t>
    </r>
  </si>
  <si>
    <t>object force</t>
  </si>
  <si>
    <t>load</t>
  </si>
  <si>
    <t>gravity (m/s) =</t>
  </si>
  <si>
    <t>Object</t>
  </si>
  <si>
    <t xml:space="preserve">Load Force (N) = </t>
  </si>
  <si>
    <t xml:space="preserve">Object Force w/ load = </t>
  </si>
  <si>
    <r>
      <t>water denisity (p) (kg/m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 =</t>
    </r>
  </si>
  <si>
    <r>
      <t>Volume (m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) = </t>
    </r>
  </si>
  <si>
    <r>
      <t>L = (F</t>
    </r>
    <r>
      <rPr>
        <vertAlign val="sub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-F</t>
    </r>
    <r>
      <rPr>
        <vertAlign val="sub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)/g =</t>
    </r>
  </si>
  <si>
    <t>Rise in Water</t>
  </si>
  <si>
    <t xml:space="preserve">Height(m) = </t>
  </si>
  <si>
    <t xml:space="preserve">Rise (m) = </t>
  </si>
  <si>
    <r>
      <t>object denisity w/load (p) (kg/m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) = </t>
    </r>
  </si>
  <si>
    <t>Object weight approx (.5 in plywood) = 12.27kg/shoe</t>
  </si>
  <si>
    <r>
      <t>Surface Area 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)=</t>
    </r>
  </si>
  <si>
    <t xml:space="preserve">Material depth (m) = </t>
  </si>
  <si>
    <r>
      <t>Material density (kg/m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 =</t>
    </r>
  </si>
  <si>
    <t>SA = 1.77/shoe</t>
  </si>
  <si>
    <t>Ensure measurements match # of shoes</t>
  </si>
  <si>
    <t>Stress (max weight on 1 shoe)</t>
  </si>
  <si>
    <t>Foot Length (m) =</t>
  </si>
  <si>
    <t xml:space="preserve">Foot Width (m) = </t>
  </si>
  <si>
    <r>
      <t>A</t>
    </r>
    <r>
      <rPr>
        <vertAlign val="subscript"/>
        <sz val="11"/>
        <color theme="1"/>
        <rFont val="Calibri"/>
        <family val="2"/>
        <scheme val="minor"/>
      </rPr>
      <t xml:space="preserve">O </t>
    </r>
    <r>
      <rPr>
        <sz val="11"/>
        <color theme="1"/>
        <rFont val="Calibri"/>
        <family val="2"/>
        <scheme val="minor"/>
      </rPr>
      <t>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 =</t>
    </r>
  </si>
  <si>
    <t xml:space="preserve"> σ (pascal) = </t>
  </si>
  <si>
    <t>Max Stresses</t>
  </si>
  <si>
    <t>Max Stress Weight</t>
  </si>
  <si>
    <t>Material Ultimate Tensile Strength (pascal) =</t>
  </si>
  <si>
    <t>Max Stress Weight (kg) =</t>
  </si>
  <si>
    <t>Plywood material properties</t>
  </si>
  <si>
    <t xml:space="preserve">P(N) = </t>
  </si>
  <si>
    <t>mass (kg) =</t>
  </si>
  <si>
    <t xml:space="preserve">mass (kg)= </t>
  </si>
  <si>
    <t>Max Allowable Load (kg)</t>
  </si>
  <si>
    <r>
      <t>F</t>
    </r>
    <r>
      <rPr>
        <vertAlign val="sub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=p</t>
    </r>
    <r>
      <rPr>
        <vertAlign val="subscript"/>
        <sz val="11"/>
        <color theme="1"/>
        <rFont val="Calibri"/>
        <family val="2"/>
        <scheme val="minor"/>
      </rPr>
      <t>water</t>
    </r>
    <r>
      <rPr>
        <sz val="11"/>
        <color theme="1"/>
        <rFont val="Calibri"/>
        <family val="2"/>
        <scheme val="minor"/>
      </rPr>
      <t>gV</t>
    </r>
  </si>
  <si>
    <r>
      <t>Max Load=(F</t>
    </r>
    <r>
      <rPr>
        <vertAlign val="sub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-F</t>
    </r>
    <r>
      <rPr>
        <vertAlign val="sub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)/g</t>
    </r>
  </si>
  <si>
    <r>
      <t>volume (m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)= </t>
    </r>
  </si>
  <si>
    <r>
      <t>F</t>
    </r>
    <r>
      <rPr>
        <vertAlign val="subscript"/>
        <sz val="11"/>
        <color theme="1"/>
        <rFont val="Calibri"/>
        <family val="2"/>
        <scheme val="minor"/>
      </rPr>
      <t xml:space="preserve">O </t>
    </r>
    <r>
      <rPr>
        <sz val="11"/>
        <color theme="1"/>
        <rFont val="Calibri"/>
        <family val="2"/>
        <scheme val="minor"/>
      </rPr>
      <t>= Object Force (N)</t>
    </r>
  </si>
  <si>
    <r>
      <t>1 shoe = 0.8m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</si>
  <si>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F</t>
    </r>
    <r>
      <rPr>
        <vertAlign val="subscript"/>
        <sz val="11"/>
        <color theme="1"/>
        <rFont val="Calibri"/>
        <family val="2"/>
        <scheme val="minor"/>
      </rPr>
      <t xml:space="preserve">B </t>
    </r>
    <r>
      <rPr>
        <sz val="11"/>
        <color theme="1"/>
        <rFont val="Calibri"/>
        <family val="2"/>
        <scheme val="minor"/>
      </rPr>
      <t>(N) =</t>
    </r>
  </si>
  <si>
    <r>
      <t>R = h(p</t>
    </r>
    <r>
      <rPr>
        <vertAlign val="subscript"/>
        <sz val="11"/>
        <color theme="1"/>
        <rFont val="Calibri"/>
        <family val="2"/>
        <scheme val="minor"/>
      </rPr>
      <t>water</t>
    </r>
    <r>
      <rPr>
        <sz val="11"/>
        <color theme="1"/>
        <rFont val="Calibri"/>
        <family val="2"/>
        <scheme val="minor"/>
      </rPr>
      <t>-p</t>
    </r>
    <r>
      <rPr>
        <vertAlign val="subscript"/>
        <sz val="11"/>
        <color theme="1"/>
        <rFont val="Calibri"/>
        <family val="2"/>
        <scheme val="minor"/>
      </rPr>
      <t>OL</t>
    </r>
    <r>
      <rPr>
        <sz val="11"/>
        <color theme="1"/>
        <rFont val="Calibri"/>
        <family val="2"/>
        <scheme val="minor"/>
      </rPr>
      <t>)/p</t>
    </r>
    <r>
      <rPr>
        <vertAlign val="subscript"/>
        <sz val="11"/>
        <color theme="1"/>
        <rFont val="Calibri"/>
        <family val="2"/>
        <scheme val="minor"/>
      </rPr>
      <t>water</t>
    </r>
  </si>
  <si>
    <r>
      <t xml:space="preserve"> σ = P/A</t>
    </r>
    <r>
      <rPr>
        <vertAlign val="subscript"/>
        <sz val="11"/>
        <color theme="1"/>
        <rFont val="Calibri"/>
        <family val="2"/>
        <scheme val="minor"/>
      </rPr>
      <t>O</t>
    </r>
  </si>
  <si>
    <r>
      <t>Max Stress Weight = A</t>
    </r>
    <r>
      <rPr>
        <vertAlign val="sub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(Tensile Strength)/g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</si>
</sst>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</fills>
  <borders count="2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 style="thin">
        <color rgb="FF7F7F7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7F7F7F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rgb="FF7F7F7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7F7F7F"/>
      </top>
      <bottom/>
      <diagonal/>
    </border>
  </borders>
  <cellStyleXfs count="5">
    <xf numFmtId="0" fontId="0" fillId="0" borderId="0"/>
    <xf numFmtId="0" fontId="2" fillId="2" borderId="1" applyNumberFormat="0" applyAlignment="0" applyProtection="0"/>
    <xf numFmtId="0" fontId="1" fillId="3" borderId="2" applyNumberFormat="0" applyFont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33">
    <xf numFmtId="0" fontId="0" fillId="0" borderId="0" xfId="0"/>
    <xf numFmtId="0" fontId="0" fillId="3" borderId="2" xfId="2" applyFont="1" applyAlignment="1">
      <alignment horizontal="center"/>
    </xf>
    <xf numFmtId="0" fontId="0" fillId="0" borderId="8" xfId="0" applyBorder="1"/>
    <xf numFmtId="0" fontId="0" fillId="0" borderId="9" xfId="0" applyBorder="1"/>
    <xf numFmtId="0" fontId="2" fillId="2" borderId="10" xfId="1" applyBorder="1"/>
    <xf numFmtId="0" fontId="2" fillId="2" borderId="11" xfId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3" fillId="0" borderId="7" xfId="0" applyFont="1" applyBorder="1"/>
    <xf numFmtId="0" fontId="0" fillId="0" borderId="7" xfId="0" applyBorder="1"/>
    <xf numFmtId="0" fontId="2" fillId="2" borderId="16" xfId="1" applyBorder="1"/>
    <xf numFmtId="0" fontId="8" fillId="3" borderId="2" xfId="4" applyFill="1" applyBorder="1"/>
    <xf numFmtId="0" fontId="3" fillId="0" borderId="7" xfId="0" applyFont="1" applyFill="1" applyBorder="1"/>
    <xf numFmtId="0" fontId="8" fillId="3" borderId="2" xfId="2" applyFont="1"/>
    <xf numFmtId="0" fontId="3" fillId="0" borderId="17" xfId="0" applyFont="1" applyBorder="1" applyAlignment="1"/>
    <xf numFmtId="0" fontId="3" fillId="0" borderId="7" xfId="0" applyFont="1" applyBorder="1" applyAlignment="1"/>
    <xf numFmtId="0" fontId="0" fillId="0" borderId="12" xfId="0" applyFill="1" applyBorder="1"/>
    <xf numFmtId="0" fontId="0" fillId="0" borderId="14" xfId="0" applyFill="1" applyBorder="1"/>
    <xf numFmtId="0" fontId="0" fillId="0" borderId="12" xfId="0" applyBorder="1"/>
    <xf numFmtId="0" fontId="2" fillId="2" borderId="18" xfId="1" applyBorder="1"/>
    <xf numFmtId="0" fontId="0" fillId="0" borderId="19" xfId="0" applyBorder="1"/>
    <xf numFmtId="0" fontId="3" fillId="0" borderId="0" xfId="0" applyFont="1"/>
    <xf numFmtId="0" fontId="0" fillId="0" borderId="20" xfId="0" applyBorder="1"/>
    <xf numFmtId="0" fontId="2" fillId="2" borderId="21" xfId="1" applyBorder="1"/>
    <xf numFmtId="0" fontId="0" fillId="0" borderId="22" xfId="0" applyBorder="1"/>
    <xf numFmtId="0" fontId="0" fillId="0" borderId="23" xfId="0" applyBorder="1"/>
    <xf numFmtId="0" fontId="0" fillId="0" borderId="13" xfId="0" applyFill="1" applyBorder="1"/>
    <xf numFmtId="0" fontId="7" fillId="0" borderId="3" xfId="3" applyFont="1" applyBorder="1" applyAlignment="1">
      <alignment horizontal="center"/>
    </xf>
    <xf numFmtId="0" fontId="0" fillId="3" borderId="4" xfId="2" applyFont="1" applyBorder="1" applyAlignment="1">
      <alignment horizontal="center"/>
    </xf>
    <xf numFmtId="0" fontId="0" fillId="3" borderId="5" xfId="2" applyFont="1" applyBorder="1" applyAlignment="1">
      <alignment horizontal="center"/>
    </xf>
    <xf numFmtId="0" fontId="0" fillId="3" borderId="6" xfId="2" applyFont="1" applyBorder="1" applyAlignment="1">
      <alignment horizontal="center"/>
    </xf>
    <xf numFmtId="0" fontId="0" fillId="3" borderId="2" xfId="2" applyFont="1" applyAlignment="1">
      <alignment horizontal="center"/>
    </xf>
  </cellXfs>
  <cellStyles count="5">
    <cellStyle name="Hyperlink" xfId="4" builtinId="8"/>
    <cellStyle name="Input" xfId="1" builtinId="20"/>
    <cellStyle name="Normal" xfId="0" builtinId="0"/>
    <cellStyle name="Note" xfId="2" builtinId="10"/>
    <cellStyle name="Warning Text" xfId="3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matweb.com/search/datasheetText.aspx?bassnum=PTSPLY" TargetMode="External"/><Relationship Id="rId1" Type="http://schemas.openxmlformats.org/officeDocument/2006/relationships/hyperlink" Target="http://www.engineeringtoolbox.com/young-modulus-d_41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0"/>
  <sheetViews>
    <sheetView tabSelected="1" topLeftCell="B1" zoomScale="85" zoomScaleNormal="85" workbookViewId="0">
      <selection activeCell="G25" sqref="G25"/>
    </sheetView>
  </sheetViews>
  <sheetFormatPr defaultRowHeight="15" x14ac:dyDescent="0.25"/>
  <cols>
    <col min="2" max="2" width="33.140625" bestFit="1" customWidth="1"/>
    <col min="4" max="4" width="15.140625" bestFit="1" customWidth="1"/>
    <col min="5" max="5" width="33.140625" bestFit="1" customWidth="1"/>
    <col min="6" max="6" width="8" bestFit="1" customWidth="1"/>
    <col min="8" max="8" width="25.85546875" bestFit="1" customWidth="1"/>
    <col min="11" max="11" width="43.85546875" bestFit="1" customWidth="1"/>
  </cols>
  <sheetData>
    <row r="2" spans="2:12" x14ac:dyDescent="0.25">
      <c r="B2" s="28" t="s">
        <v>21</v>
      </c>
      <c r="C2" s="28"/>
      <c r="D2" s="28"/>
    </row>
    <row r="3" spans="2:12" x14ac:dyDescent="0.25">
      <c r="B3" s="29" t="s">
        <v>16</v>
      </c>
      <c r="C3" s="30"/>
      <c r="D3" s="31"/>
      <c r="E3" s="14" t="s">
        <v>27</v>
      </c>
    </row>
    <row r="4" spans="2:12" ht="17.25" x14ac:dyDescent="0.25">
      <c r="B4" s="1" t="s">
        <v>40</v>
      </c>
      <c r="C4" s="32" t="s">
        <v>20</v>
      </c>
      <c r="D4" s="32"/>
      <c r="E4" s="12" t="s">
        <v>31</v>
      </c>
    </row>
    <row r="7" spans="2:12" x14ac:dyDescent="0.25">
      <c r="B7" s="9" t="s">
        <v>6</v>
      </c>
      <c r="C7" s="10"/>
      <c r="E7" s="9" t="s">
        <v>4</v>
      </c>
      <c r="F7" s="10"/>
      <c r="H7" s="9" t="s">
        <v>1</v>
      </c>
      <c r="I7" s="10"/>
      <c r="K7" s="15" t="s">
        <v>22</v>
      </c>
      <c r="L7" s="16"/>
    </row>
    <row r="8" spans="2:12" ht="17.25" x14ac:dyDescent="0.25">
      <c r="B8" s="6" t="s">
        <v>34</v>
      </c>
      <c r="C8" s="3">
        <f>C10*C11*C12</f>
        <v>38.353999999999999</v>
      </c>
      <c r="E8" s="6" t="s">
        <v>33</v>
      </c>
      <c r="F8" s="11">
        <v>80</v>
      </c>
      <c r="H8" s="6" t="s">
        <v>10</v>
      </c>
      <c r="I8" s="3">
        <f>C9</f>
        <v>0.16</v>
      </c>
      <c r="K8" s="19" t="s">
        <v>32</v>
      </c>
      <c r="L8" s="2">
        <f>F10</f>
        <v>784</v>
      </c>
    </row>
    <row r="9" spans="2:12" ht="17.25" x14ac:dyDescent="0.25">
      <c r="B9" s="6" t="s">
        <v>38</v>
      </c>
      <c r="C9" s="4">
        <v>0.16</v>
      </c>
      <c r="E9" s="6" t="s">
        <v>5</v>
      </c>
      <c r="F9" s="3">
        <v>9.8000000000000007</v>
      </c>
      <c r="H9" s="6" t="s">
        <v>0</v>
      </c>
      <c r="I9" s="3">
        <v>9.8000000000000007</v>
      </c>
      <c r="K9" s="6" t="s">
        <v>23</v>
      </c>
      <c r="L9" s="4">
        <v>0.1</v>
      </c>
    </row>
    <row r="10" spans="2:12" ht="17.25" x14ac:dyDescent="0.25">
      <c r="B10" s="6" t="s">
        <v>17</v>
      </c>
      <c r="C10" s="4">
        <v>3.02</v>
      </c>
      <c r="E10" s="7" t="s">
        <v>7</v>
      </c>
      <c r="F10" s="8">
        <f>F8*F9</f>
        <v>784</v>
      </c>
      <c r="H10" s="6" t="s">
        <v>9</v>
      </c>
      <c r="I10" s="3">
        <v>1000</v>
      </c>
      <c r="K10" s="6" t="s">
        <v>24</v>
      </c>
      <c r="L10" s="4">
        <v>0.25</v>
      </c>
    </row>
    <row r="11" spans="2:12" ht="18.75" x14ac:dyDescent="0.35">
      <c r="B11" s="6" t="s">
        <v>18</v>
      </c>
      <c r="C11" s="4">
        <v>1.2699999999999999E-2</v>
      </c>
      <c r="H11" s="6" t="s">
        <v>36</v>
      </c>
      <c r="I11" s="6"/>
      <c r="K11" s="6" t="s">
        <v>25</v>
      </c>
      <c r="L11" s="3">
        <f>L9*L10</f>
        <v>2.5000000000000001E-2</v>
      </c>
    </row>
    <row r="12" spans="2:12" ht="18.75" x14ac:dyDescent="0.35">
      <c r="B12" s="7" t="s">
        <v>19</v>
      </c>
      <c r="C12" s="5">
        <v>1000</v>
      </c>
      <c r="E12" s="9" t="s">
        <v>35</v>
      </c>
      <c r="F12" s="10"/>
      <c r="H12" s="7" t="s">
        <v>41</v>
      </c>
      <c r="I12" s="8">
        <f>I10*I9*I8</f>
        <v>1568</v>
      </c>
      <c r="K12" s="21" t="s">
        <v>43</v>
      </c>
      <c r="L12" s="6"/>
    </row>
    <row r="13" spans="2:12" ht="18" x14ac:dyDescent="0.35">
      <c r="E13" s="19" t="s">
        <v>37</v>
      </c>
      <c r="F13" s="3"/>
      <c r="K13" s="7" t="s">
        <v>26</v>
      </c>
      <c r="L13" s="8">
        <f>L8/L11</f>
        <v>31360</v>
      </c>
    </row>
    <row r="14" spans="2:12" ht="18" x14ac:dyDescent="0.35">
      <c r="B14" s="9" t="s">
        <v>3</v>
      </c>
      <c r="C14" s="10"/>
      <c r="E14" s="7" t="s">
        <v>11</v>
      </c>
      <c r="F14" s="8">
        <f>(I12-C19)/I9</f>
        <v>121.64599999999999</v>
      </c>
      <c r="H14" s="9" t="s">
        <v>12</v>
      </c>
      <c r="I14" s="19"/>
    </row>
    <row r="15" spans="2:12" ht="18.75" x14ac:dyDescent="0.35">
      <c r="B15" s="19" t="s">
        <v>10</v>
      </c>
      <c r="C15" s="2">
        <f>C9</f>
        <v>0.16</v>
      </c>
      <c r="H15" s="23" t="s">
        <v>42</v>
      </c>
      <c r="I15" s="19"/>
      <c r="K15" s="13" t="s">
        <v>28</v>
      </c>
      <c r="L15" s="10"/>
    </row>
    <row r="16" spans="2:12" ht="17.25" x14ac:dyDescent="0.25">
      <c r="B16" s="6" t="s">
        <v>0</v>
      </c>
      <c r="C16" s="3">
        <v>9.8000000000000007</v>
      </c>
      <c r="E16" s="22"/>
      <c r="H16" s="6" t="s">
        <v>13</v>
      </c>
      <c r="I16" s="24">
        <v>0.3125</v>
      </c>
      <c r="K16" s="17" t="s">
        <v>29</v>
      </c>
      <c r="L16" s="20">
        <v>58200</v>
      </c>
    </row>
    <row r="17" spans="2:12" ht="18.75" x14ac:dyDescent="0.35">
      <c r="B17" s="6" t="s">
        <v>2</v>
      </c>
      <c r="C17" s="3">
        <f>C8/C9</f>
        <v>239.71249999999998</v>
      </c>
      <c r="H17" s="7" t="s">
        <v>14</v>
      </c>
      <c r="I17" s="25">
        <f>(I16*(I10-C18))/I10</f>
        <v>8.1339843750000002E-2</v>
      </c>
      <c r="K17" s="27" t="s">
        <v>44</v>
      </c>
      <c r="L17" s="26"/>
    </row>
    <row r="18" spans="2:12" ht="17.25" x14ac:dyDescent="0.25">
      <c r="B18" s="21" t="s">
        <v>15</v>
      </c>
      <c r="C18" s="6">
        <f>(F8+C8)/C9</f>
        <v>739.71249999999998</v>
      </c>
      <c r="K18" s="18" t="s">
        <v>30</v>
      </c>
      <c r="L18" s="8">
        <f>(L16*L11)/F9</f>
        <v>148.46938775510202</v>
      </c>
    </row>
    <row r="19" spans="2:12" ht="18" x14ac:dyDescent="0.35">
      <c r="B19" s="6" t="s">
        <v>39</v>
      </c>
      <c r="C19" s="3">
        <f>C8*C16</f>
        <v>375.86920000000003</v>
      </c>
    </row>
    <row r="20" spans="2:12" x14ac:dyDescent="0.25">
      <c r="B20" s="7" t="s">
        <v>8</v>
      </c>
      <c r="C20" s="8">
        <f>C19+F10</f>
        <v>1159.8692000000001</v>
      </c>
    </row>
  </sheetData>
  <mergeCells count="3">
    <mergeCell ref="B2:D2"/>
    <mergeCell ref="B3:D3"/>
    <mergeCell ref="C4:D4"/>
  </mergeCells>
  <hyperlinks>
    <hyperlink ref="E3" r:id="rId1"/>
    <hyperlink ref="E4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R Kruse</dc:creator>
  <cp:lastModifiedBy>Jordy</cp:lastModifiedBy>
  <dcterms:created xsi:type="dcterms:W3CDTF">2017-02-08T18:55:08Z</dcterms:created>
  <dcterms:modified xsi:type="dcterms:W3CDTF">2017-02-28T01:43:29Z</dcterms:modified>
</cp:coreProperties>
</file>